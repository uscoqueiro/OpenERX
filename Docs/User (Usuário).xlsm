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Projects\OpenERX\Docs\"/>
    </mc:Choice>
  </mc:AlternateContent>
  <xr:revisionPtr revIDLastSave="0" documentId="13_ncr:1_{E7DB750D-2EFF-4851-9F10-15B876D267DA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21" i="1"/>
  <c r="E19" i="1"/>
  <c r="E11" i="1"/>
  <c r="E10" i="1"/>
  <c r="E16" i="1"/>
  <c r="E17" i="1"/>
  <c r="E15" i="1"/>
  <c r="E14" i="1"/>
  <c r="E9" i="1"/>
  <c r="E18" i="1"/>
  <c r="E28" i="1"/>
  <c r="E33" i="1"/>
  <c r="E30" i="1"/>
  <c r="E25" i="1"/>
  <c r="E27" i="1"/>
  <c r="E32" i="1"/>
  <c r="E34" i="1"/>
  <c r="E23" i="1"/>
  <c r="E26" i="1"/>
  <c r="E31" i="1"/>
  <c r="E29" i="1"/>
  <c r="E24" i="1"/>
  <c r="E13" i="1"/>
  <c r="E20" i="1"/>
  <c r="E8" i="1"/>
  <c r="E35" i="1"/>
  <c r="D2" i="1" l="1"/>
  <c r="J2" i="1"/>
  <c r="E5" i="1"/>
  <c r="E7" i="1"/>
  <c r="E22" i="1"/>
  <c r="E6" i="1"/>
  <c r="E12" i="1"/>
  <c r="B2" i="1"/>
</calcChain>
</file>

<file path=xl/sharedStrings.xml><?xml version="1.0" encoding="utf-8"?>
<sst xmlns="http://schemas.openxmlformats.org/spreadsheetml/2006/main" count="144" uniqueCount="87">
  <si>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</si>
  <si>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</si>
  <si>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</si>
  <si>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</si>
  <si>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</si>
  <si>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</si>
  <si>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</si>
  <si>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</si>
  <si>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</si>
  <si>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</si>
  <si>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</si>
  <si>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</si>
  <si>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</si>
  <si>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</si>
  <si>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</si>
  <si>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</si>
  <si>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</si>
  <si>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</si>
  <si>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</si>
  <si>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</si>
  <si>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</si>
  <si>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</si>
  <si>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</si>
  <si>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</si>
  <si>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</si>
  <si>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</si>
  <si>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</si>
  <si>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</si>
  <si>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</si>
  <si>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</si>
  <si>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</si>
  <si>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</si>
  <si>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Enabled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</si>
  <si>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</si>
  <si>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</si>
  <si>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</si>
  <si>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</si>
  <si>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</si>
  <si>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</si>
  <si>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</si>
  <si>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</si>
  <si>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</si>
  <si>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</si>
  <si>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</si>
  <si>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</si>
  <si>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</si>
  <si>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</si>
  <si>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</si>
  <si>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</si>
  <si>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</si>
  <si>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</si>
  <si>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</si>
  <si>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</si>
  <si>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</si>
  <si>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</si>
  <si>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</si>
  <si>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</si>
  <si>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</si>
  <si>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</si>
  <si>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</si>
  <si>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</si>
  <si>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</si>
  <si>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</si>
  <si>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Ativo</t>
  </si>
  <si>
    <t>Usuário</t>
  </si>
  <si>
    <t>User</t>
  </si>
  <si>
    <t>Chave de Acesso</t>
  </si>
  <si>
    <t>AccessKey</t>
  </si>
  <si>
    <t>Password</t>
  </si>
  <si>
    <t>Senha</t>
  </si>
  <si>
    <t>ProfileCode</t>
  </si>
  <si>
    <t>ProfileName</t>
  </si>
  <si>
    <t>Código do Perfil</t>
  </si>
  <si>
    <t>Nome do Perfil</t>
  </si>
  <si>
    <t>StatusCode</t>
  </si>
  <si>
    <t>StatusName</t>
  </si>
  <si>
    <t>Código do Status</t>
  </si>
  <si>
    <t>Nome</t>
  </si>
  <si>
    <t>LastAccess</t>
  </si>
  <si>
    <t>Último Acesso</t>
  </si>
  <si>
    <t>Email</t>
  </si>
  <si>
    <t>E-mail</t>
  </si>
  <si>
    <t>Phone</t>
  </si>
  <si>
    <t>Telefone</t>
  </si>
  <si>
    <t>AccessCount</t>
  </si>
  <si>
    <t>Quantidade de Acessos</t>
  </si>
  <si>
    <t>Avatar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</si>
</sst>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5"/>
  <sheetViews>
    <sheetView tabSelected="1" zoomScaleNormal="100" zoomScalePageLayoutView="115" workbookViewId="0">
      <selection activeCell="A5" sqref="A5:XFD5"/>
    </sheetView>
  </sheetViews>
  <sheetFormatPr defaultColWidth="118" defaultRowHeight="15.5" x14ac:dyDescent="0.35"/>
  <cols>
    <col min="1" max="1" width="17.25" style="5" bestFit="1" customWidth="1"/>
    <col min="2" max="2" width="11.25" style="5" bestFit="1" customWidth="1"/>
    <col min="3" max="3" width="11.83203125" style="5" bestFit="1" customWidth="1"/>
    <col min="4" max="4" width="14.33203125" style="6" bestFit="1" customWidth="1"/>
    <col min="5" max="5" width="18.75" style="5" bestFit="1" customWidth="1"/>
    <col min="6" max="6" width="28.5" style="5" bestFit="1" customWidth="1"/>
    <col min="7" max="7" width="8.83203125" style="5" bestFit="1" customWidth="1"/>
    <col min="8" max="8" width="19.08203125" style="5" bestFit="1" customWidth="1"/>
    <col min="9" max="9" width="13.58203125" style="5" bestFit="1" customWidth="1"/>
    <col min="10" max="10" width="11.83203125" style="5" bestFit="1" customWidth="1"/>
    <col min="11" max="11" width="10.332031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320312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08203125" style="5" bestFit="1" customWidth="1"/>
    <col min="22" max="22" width="12.25" style="5" bestFit="1" customWidth="1"/>
    <col min="23" max="16384" width="118" style="5"/>
  </cols>
  <sheetData>
    <row r="1" spans="1:11" s="1" customFormat="1" x14ac:dyDescent="0.35">
      <c r="A1" s="1" t="s">
        <v>1</v>
      </c>
      <c r="B1" s="2" t="s">
        <v>20</v>
      </c>
      <c r="C1" s="1" t="s">
        <v>0</v>
      </c>
      <c r="D1" s="2" t="s">
        <v>4</v>
      </c>
      <c r="E1" s="1" t="s">
        <v>8</v>
      </c>
      <c r="F1" s="1" t="s">
        <v>21</v>
      </c>
      <c r="G1" s="11" t="s">
        <v>22</v>
      </c>
      <c r="H1" s="11" t="s">
        <v>23</v>
      </c>
      <c r="I1" s="11" t="s">
        <v>24</v>
      </c>
      <c r="J1" s="11" t="s">
        <v>25</v>
      </c>
      <c r="K1" s="1" t="s">
        <v>28</v>
      </c>
    </row>
    <row r="2" spans="1:11" s="3" customFormat="1" x14ac:dyDescent="0.35">
      <c r="A2" s="3" t="s">
        <v>65</v>
      </c>
      <c r="B2" s="3" t="str">
        <f>SplitProp(A2)</f>
        <v>user</v>
      </c>
      <c r="C2" s="3" t="s">
        <v>64</v>
      </c>
      <c r="D2" s="4" t="str">
        <f>A7</f>
        <v>Name</v>
      </c>
      <c r="E2" s="3" t="str">
        <f>A5</f>
        <v>Id</v>
      </c>
      <c r="I2" s="3">
        <v>1000</v>
      </c>
      <c r="J2" s="3" t="str">
        <f>A6</f>
        <v>Code</v>
      </c>
      <c r="K2" s="12">
        <v>45035</v>
      </c>
    </row>
    <row r="4" spans="1:11" s="1" customFormat="1" x14ac:dyDescent="0.3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35">
      <c r="A5" s="5" t="s">
        <v>26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26</v>
      </c>
    </row>
    <row r="6" spans="1:11" s="3" customFormat="1" x14ac:dyDescent="0.3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27</v>
      </c>
    </row>
    <row r="7" spans="1:11" x14ac:dyDescent="0.35">
      <c r="A7" s="5" t="s">
        <v>30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77</v>
      </c>
    </row>
    <row r="8" spans="1:11" s="3" customFormat="1" x14ac:dyDescent="0.35">
      <c r="A8" s="3" t="s">
        <v>67</v>
      </c>
      <c r="B8" s="3" t="s">
        <v>12</v>
      </c>
      <c r="C8" s="3" t="s">
        <v>7</v>
      </c>
      <c r="D8" s="4">
        <v>150</v>
      </c>
      <c r="E8" s="3" t="str">
        <f t="shared" ref="E8" si="1">SplitProp(A8)</f>
        <v>access_key</v>
      </c>
      <c r="F8" s="3" t="s">
        <v>66</v>
      </c>
    </row>
    <row r="9" spans="1:11" x14ac:dyDescent="0.35">
      <c r="A9" s="5" t="s">
        <v>68</v>
      </c>
      <c r="B9" s="5" t="s">
        <v>12</v>
      </c>
      <c r="C9" s="5" t="s">
        <v>7</v>
      </c>
      <c r="D9" s="6">
        <v>150</v>
      </c>
      <c r="E9" s="5" t="str">
        <f t="shared" ref="E9:E10" si="2">SplitProp(A9)</f>
        <v>password</v>
      </c>
      <c r="F9" s="5" t="s">
        <v>69</v>
      </c>
    </row>
    <row r="10" spans="1:11" s="3" customFormat="1" x14ac:dyDescent="0.35">
      <c r="A10" s="3" t="s">
        <v>80</v>
      </c>
      <c r="B10" s="3" t="s">
        <v>12</v>
      </c>
      <c r="C10" s="3" t="s">
        <v>11</v>
      </c>
      <c r="D10" s="4">
        <v>255</v>
      </c>
      <c r="E10" s="3" t="str">
        <f t="shared" si="2"/>
        <v>email</v>
      </c>
      <c r="F10" s="3" t="s">
        <v>81</v>
      </c>
    </row>
    <row r="11" spans="1:11" x14ac:dyDescent="0.35">
      <c r="A11" s="5" t="s">
        <v>82</v>
      </c>
      <c r="B11" s="5" t="s">
        <v>12</v>
      </c>
      <c r="C11" s="5" t="s">
        <v>11</v>
      </c>
      <c r="D11" s="6">
        <v>20</v>
      </c>
      <c r="E11" s="5" t="str">
        <f t="shared" ref="E11" si="3">SplitProp(A11)</f>
        <v>phone</v>
      </c>
      <c r="F11" s="5" t="s">
        <v>83</v>
      </c>
    </row>
    <row r="12" spans="1:11" s="3" customFormat="1" x14ac:dyDescent="0.35">
      <c r="A12" s="3" t="s">
        <v>34</v>
      </c>
      <c r="B12" s="3" t="s">
        <v>9</v>
      </c>
      <c r="C12" s="3" t="s">
        <v>7</v>
      </c>
      <c r="D12" s="4">
        <v>0</v>
      </c>
      <c r="E12" s="3" t="str">
        <f>SplitProp(A12)</f>
        <v>type_code</v>
      </c>
      <c r="F12" s="3" t="s">
        <v>35</v>
      </c>
    </row>
    <row r="13" spans="1:11" x14ac:dyDescent="0.35">
      <c r="A13" s="5" t="s">
        <v>36</v>
      </c>
      <c r="B13" s="5" t="s">
        <v>12</v>
      </c>
      <c r="C13" s="5" t="s">
        <v>11</v>
      </c>
      <c r="D13" s="6">
        <v>255</v>
      </c>
      <c r="E13" s="5" t="str">
        <f t="shared" ref="E13:E18" si="4">SplitProp(A13)</f>
        <v>type_name</v>
      </c>
      <c r="F13" s="5" t="s">
        <v>37</v>
      </c>
    </row>
    <row r="14" spans="1:11" s="3" customFormat="1" x14ac:dyDescent="0.35">
      <c r="A14" s="3" t="s">
        <v>70</v>
      </c>
      <c r="B14" s="3" t="s">
        <v>9</v>
      </c>
      <c r="C14" s="3" t="s">
        <v>7</v>
      </c>
      <c r="D14" s="4">
        <v>0</v>
      </c>
      <c r="E14" s="3" t="str">
        <f>SplitProp(A14)</f>
        <v>profile_code</v>
      </c>
      <c r="F14" s="3" t="s">
        <v>72</v>
      </c>
    </row>
    <row r="15" spans="1:11" x14ac:dyDescent="0.35">
      <c r="A15" s="5" t="s">
        <v>71</v>
      </c>
      <c r="B15" s="5" t="s">
        <v>12</v>
      </c>
      <c r="C15" s="5" t="s">
        <v>11</v>
      </c>
      <c r="D15" s="6">
        <v>255</v>
      </c>
      <c r="E15" s="5" t="str">
        <f t="shared" ref="E15" si="5">SplitProp(A15)</f>
        <v>profile_name</v>
      </c>
      <c r="F15" s="5" t="s">
        <v>73</v>
      </c>
    </row>
    <row r="16" spans="1:11" s="3" customFormat="1" x14ac:dyDescent="0.35">
      <c r="A16" s="3" t="s">
        <v>74</v>
      </c>
      <c r="B16" s="3" t="s">
        <v>9</v>
      </c>
      <c r="C16" s="3" t="s">
        <v>7</v>
      </c>
      <c r="D16" s="4">
        <v>0</v>
      </c>
      <c r="E16" s="3" t="str">
        <f>SplitProp(A16)</f>
        <v>status_code</v>
      </c>
      <c r="F16" s="3" t="s">
        <v>76</v>
      </c>
    </row>
    <row r="17" spans="1:6" x14ac:dyDescent="0.35">
      <c r="A17" s="5" t="s">
        <v>75</v>
      </c>
      <c r="B17" s="5" t="s">
        <v>12</v>
      </c>
      <c r="C17" s="5" t="s">
        <v>11</v>
      </c>
      <c r="D17" s="6">
        <v>255</v>
      </c>
      <c r="E17" s="5" t="str">
        <f t="shared" ref="E17" si="6">SplitProp(A17)</f>
        <v>status_name</v>
      </c>
      <c r="F17" s="5" t="s">
        <v>31</v>
      </c>
    </row>
    <row r="18" spans="1:6" s="3" customFormat="1" x14ac:dyDescent="0.35">
      <c r="A18" s="3" t="s">
        <v>78</v>
      </c>
      <c r="B18" s="3" t="s">
        <v>45</v>
      </c>
      <c r="C18" s="3" t="s">
        <v>11</v>
      </c>
      <c r="D18" s="4">
        <v>10</v>
      </c>
      <c r="E18" s="3" t="str">
        <f t="shared" si="4"/>
        <v>last_access</v>
      </c>
      <c r="F18" s="3" t="s">
        <v>79</v>
      </c>
    </row>
    <row r="19" spans="1:6" x14ac:dyDescent="0.35">
      <c r="A19" s="5" t="s">
        <v>84</v>
      </c>
      <c r="B19" s="5" t="s">
        <v>9</v>
      </c>
      <c r="C19" s="5" t="s">
        <v>7</v>
      </c>
      <c r="D19" s="6">
        <v>10</v>
      </c>
      <c r="E19" s="5" t="str">
        <f>SplitProp(A19)</f>
        <v>access_count</v>
      </c>
      <c r="F19" s="5" t="s">
        <v>85</v>
      </c>
    </row>
    <row r="20" spans="1:6" s="3" customFormat="1" x14ac:dyDescent="0.35">
      <c r="A20" s="3" t="s">
        <v>32</v>
      </c>
      <c r="B20" s="3" t="s">
        <v>19</v>
      </c>
      <c r="C20" s="3" t="s">
        <v>7</v>
      </c>
      <c r="D20" s="4">
        <v>0</v>
      </c>
      <c r="E20" s="3" t="str">
        <f t="shared" ref="E20:E21" si="7">SplitProp(A20)</f>
        <v>enabled</v>
      </c>
      <c r="F20" s="3" t="s">
        <v>63</v>
      </c>
    </row>
    <row r="21" spans="1:6" x14ac:dyDescent="0.35">
      <c r="A21" s="5" t="s">
        <v>86</v>
      </c>
      <c r="B21" s="5" t="s">
        <v>12</v>
      </c>
      <c r="C21" s="5" t="s">
        <v>11</v>
      </c>
      <c r="D21" s="6">
        <v>8000</v>
      </c>
      <c r="E21" s="5" t="str">
        <f t="shared" si="7"/>
        <v>avatar</v>
      </c>
      <c r="F21" s="5" t="s">
        <v>86</v>
      </c>
    </row>
    <row r="22" spans="1:6" s="3" customFormat="1" x14ac:dyDescent="0.35">
      <c r="A22" s="3" t="s">
        <v>14</v>
      </c>
      <c r="B22" s="3" t="s">
        <v>12</v>
      </c>
      <c r="C22" s="3" t="s">
        <v>11</v>
      </c>
      <c r="D22" s="4">
        <v>8000</v>
      </c>
      <c r="E22" s="3" t="str">
        <f>SplitProp(A22)</f>
        <v>note</v>
      </c>
      <c r="F22" s="3" t="s">
        <v>15</v>
      </c>
    </row>
    <row r="23" spans="1:6" s="9" customFormat="1" x14ac:dyDescent="0.35">
      <c r="A23" s="9" t="s">
        <v>38</v>
      </c>
      <c r="B23" s="9" t="s">
        <v>13</v>
      </c>
      <c r="C23" s="9" t="s">
        <v>7</v>
      </c>
      <c r="D23" s="10">
        <v>50</v>
      </c>
      <c r="E23" s="9" t="str">
        <f t="shared" ref="E23:E25" si="8">SplitProp(A23)</f>
        <v>account_id</v>
      </c>
      <c r="F23" s="9" t="s">
        <v>39</v>
      </c>
    </row>
    <row r="24" spans="1:6" s="7" customFormat="1" x14ac:dyDescent="0.35">
      <c r="A24" s="7" t="s">
        <v>40</v>
      </c>
      <c r="B24" s="7" t="s">
        <v>9</v>
      </c>
      <c r="C24" s="7" t="s">
        <v>7</v>
      </c>
      <c r="D24" s="8">
        <v>10</v>
      </c>
      <c r="E24" s="7" t="str">
        <f t="shared" si="8"/>
        <v>account_code</v>
      </c>
      <c r="F24" s="7" t="s">
        <v>41</v>
      </c>
    </row>
    <row r="25" spans="1:6" s="9" customFormat="1" x14ac:dyDescent="0.35">
      <c r="A25" s="9" t="s">
        <v>42</v>
      </c>
      <c r="B25" s="9" t="s">
        <v>12</v>
      </c>
      <c r="C25" s="9" t="s">
        <v>7</v>
      </c>
      <c r="D25" s="10">
        <v>150</v>
      </c>
      <c r="E25" s="9" t="str">
        <f t="shared" si="8"/>
        <v>account_name</v>
      </c>
      <c r="F25" s="9" t="s">
        <v>43</v>
      </c>
    </row>
    <row r="26" spans="1:6" s="7" customFormat="1" x14ac:dyDescent="0.35">
      <c r="A26" s="7" t="s">
        <v>44</v>
      </c>
      <c r="B26" s="7" t="s">
        <v>45</v>
      </c>
      <c r="C26" s="7" t="s">
        <v>7</v>
      </c>
      <c r="D26" s="8">
        <v>10</v>
      </c>
      <c r="E26" s="7" t="str">
        <f t="shared" ref="E26:E34" si="9">SplitProp(A26)</f>
        <v>creation_date</v>
      </c>
      <c r="F26" s="7" t="s">
        <v>46</v>
      </c>
    </row>
    <row r="27" spans="1:6" s="9" customFormat="1" x14ac:dyDescent="0.35">
      <c r="A27" s="9" t="s">
        <v>47</v>
      </c>
      <c r="B27" s="9" t="s">
        <v>13</v>
      </c>
      <c r="C27" s="9" t="s">
        <v>7</v>
      </c>
      <c r="D27" s="10">
        <v>50</v>
      </c>
      <c r="E27" s="9" t="str">
        <f t="shared" si="9"/>
        <v>creation_user_id</v>
      </c>
      <c r="F27" s="9" t="s">
        <v>48</v>
      </c>
    </row>
    <row r="28" spans="1:6" s="7" customFormat="1" x14ac:dyDescent="0.35">
      <c r="A28" s="7" t="s">
        <v>49</v>
      </c>
      <c r="B28" s="7" t="s">
        <v>12</v>
      </c>
      <c r="C28" s="7" t="s">
        <v>7</v>
      </c>
      <c r="D28" s="8">
        <v>150</v>
      </c>
      <c r="E28" s="7" t="str">
        <f t="shared" si="9"/>
        <v>creation_user_name</v>
      </c>
      <c r="F28" s="7" t="s">
        <v>50</v>
      </c>
    </row>
    <row r="29" spans="1:6" s="9" customFormat="1" x14ac:dyDescent="0.35">
      <c r="A29" s="9" t="s">
        <v>51</v>
      </c>
      <c r="B29" s="9" t="s">
        <v>45</v>
      </c>
      <c r="C29" s="9" t="s">
        <v>11</v>
      </c>
      <c r="D29" s="10">
        <v>10</v>
      </c>
      <c r="E29" s="9" t="str">
        <f t="shared" si="9"/>
        <v>change_date</v>
      </c>
      <c r="F29" s="9" t="s">
        <v>52</v>
      </c>
    </row>
    <row r="30" spans="1:6" s="7" customFormat="1" x14ac:dyDescent="0.35">
      <c r="A30" s="7" t="s">
        <v>53</v>
      </c>
      <c r="B30" s="7" t="s">
        <v>13</v>
      </c>
      <c r="C30" s="7" t="s">
        <v>7</v>
      </c>
      <c r="D30" s="8">
        <v>50</v>
      </c>
      <c r="E30" s="7" t="str">
        <f t="shared" si="9"/>
        <v>change_user_id</v>
      </c>
      <c r="F30" s="7" t="s">
        <v>54</v>
      </c>
    </row>
    <row r="31" spans="1:6" s="9" customFormat="1" x14ac:dyDescent="0.35">
      <c r="A31" s="9" t="s">
        <v>55</v>
      </c>
      <c r="B31" s="9" t="s">
        <v>12</v>
      </c>
      <c r="C31" s="9" t="s">
        <v>11</v>
      </c>
      <c r="D31" s="10">
        <v>150</v>
      </c>
      <c r="E31" s="9" t="str">
        <f t="shared" si="9"/>
        <v>change_user_name</v>
      </c>
      <c r="F31" s="9" t="s">
        <v>56</v>
      </c>
    </row>
    <row r="32" spans="1:6" s="7" customFormat="1" x14ac:dyDescent="0.35">
      <c r="A32" s="7" t="s">
        <v>57</v>
      </c>
      <c r="B32" s="7" t="s">
        <v>45</v>
      </c>
      <c r="C32" s="7" t="s">
        <v>11</v>
      </c>
      <c r="D32" s="8">
        <v>10</v>
      </c>
      <c r="E32" s="7" t="str">
        <f t="shared" si="9"/>
        <v>exclusion_date</v>
      </c>
      <c r="F32" s="7" t="s">
        <v>58</v>
      </c>
    </row>
    <row r="33" spans="1:6" s="9" customFormat="1" x14ac:dyDescent="0.35">
      <c r="A33" s="9" t="s">
        <v>59</v>
      </c>
      <c r="B33" s="9" t="s">
        <v>13</v>
      </c>
      <c r="C33" s="9" t="s">
        <v>7</v>
      </c>
      <c r="D33" s="10">
        <v>50</v>
      </c>
      <c r="E33" s="9" t="str">
        <f t="shared" si="9"/>
        <v>exclusion_user_id</v>
      </c>
      <c r="F33" s="9" t="s">
        <v>60</v>
      </c>
    </row>
    <row r="34" spans="1:6" s="7" customFormat="1" x14ac:dyDescent="0.35">
      <c r="A34" s="7" t="s">
        <v>61</v>
      </c>
      <c r="B34" s="7" t="s">
        <v>12</v>
      </c>
      <c r="C34" s="7" t="s">
        <v>11</v>
      </c>
      <c r="D34" s="8">
        <v>150</v>
      </c>
      <c r="E34" s="7" t="str">
        <f t="shared" si="9"/>
        <v>exclusion_user_name</v>
      </c>
      <c r="F34" s="7" t="s">
        <v>62</v>
      </c>
    </row>
    <row r="35" spans="1:6" s="9" customFormat="1" x14ac:dyDescent="0.35">
      <c r="A35" s="9" t="s">
        <v>29</v>
      </c>
      <c r="B35" s="9" t="s">
        <v>33</v>
      </c>
      <c r="C35" s="9" t="s">
        <v>7</v>
      </c>
      <c r="D35" s="10">
        <v>0</v>
      </c>
      <c r="E35" s="9" t="str">
        <f>SplitProp(A35)</f>
        <v>record_status</v>
      </c>
      <c r="F35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2023-04-20T00:00:00Z</dcterms:modified>
</cp:coreProperties>
</file>